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Data_Inclusão</t>
        </is>
      </c>
      <c r="C1" s="1" t="inlineStr">
        <is>
          <t>Nome_Paciente</t>
        </is>
      </c>
      <c r="D1" s="1" t="inlineStr">
        <is>
          <t>Idade</t>
        </is>
      </c>
      <c r="E1" s="1" t="inlineStr">
        <is>
          <t>Gênero</t>
        </is>
      </c>
      <c r="F1" s="1" t="inlineStr">
        <is>
          <t>Grau_DI</t>
        </is>
      </c>
      <c r="G1" s="1" t="inlineStr">
        <is>
          <t>Contexto</t>
        </is>
      </c>
      <c r="H1" s="1" t="inlineStr">
        <is>
          <t>Versão_Protocolo</t>
        </is>
      </c>
      <c r="I1" s="1" t="inlineStr">
        <is>
          <t>Parceiro_Instituição</t>
        </is>
      </c>
      <c r="J1" s="1" t="inlineStr">
        <is>
          <t>Responsável_Legal</t>
        </is>
      </c>
      <c r="K1" s="1" t="inlineStr">
        <is>
          <t>Parentesco</t>
        </is>
      </c>
      <c r="L1" s="1" t="inlineStr">
        <is>
          <t>Telefone</t>
        </is>
      </c>
      <c r="M1" s="1" t="inlineStr">
        <is>
          <t>Email</t>
        </is>
      </c>
      <c r="N1" s="1" t="inlineStr">
        <is>
          <t>Endereço</t>
        </is>
      </c>
      <c r="O1" s="1" t="inlineStr">
        <is>
          <t>Medicamentos_Atuais</t>
        </is>
      </c>
      <c r="P1" s="1" t="inlineStr">
        <is>
          <t>TCLE_Assinado</t>
        </is>
      </c>
      <c r="Q1" s="1" t="inlineStr">
        <is>
          <t>Status</t>
        </is>
      </c>
      <c r="R1" s="1" t="inlineStr">
        <is>
          <t>Código Randomização</t>
        </is>
      </c>
      <c r="S1" s="1" t="inlineStr">
        <is>
          <t>Grupo</t>
        </is>
      </c>
      <c r="T1" s="1" t="inlineStr">
        <is>
          <t>Tempo Total de Sessão</t>
        </is>
      </c>
      <c r="U1" s="1" t="inlineStr">
        <is>
          <t>Escore Dor T48h</t>
        </is>
      </c>
      <c r="V1" s="1" t="inlineStr">
        <is>
          <t>VAS Cuid.</t>
        </is>
      </c>
      <c r="W1" s="1" t="inlineStr">
        <is>
          <t>CGI-C</t>
        </is>
      </c>
      <c r="X1" s="1" t="inlineStr">
        <is>
          <t>Eventos Adversos</t>
        </is>
      </c>
    </row>
    <row r="2">
      <c r="A2" t="inlineStr">
        <is>
          <t>P001</t>
        </is>
      </c>
      <c r="B2" t="inlineStr">
        <is>
          <t>2026-01-15</t>
        </is>
      </c>
      <c r="C2" t="inlineStr">
        <is>
          <t>Ana Silva</t>
        </is>
      </c>
      <c r="D2" t="n">
        <v>8</v>
      </c>
      <c r="E2" t="inlineStr">
        <is>
          <t>F</t>
        </is>
      </c>
      <c r="F2" t="inlineStr">
        <is>
          <t>Leve</t>
        </is>
      </c>
      <c r="G2" t="inlineStr">
        <is>
          <t>Domiciliar</t>
        </is>
      </c>
      <c r="H2" t="inlineStr">
        <is>
          <t>Completa</t>
        </is>
      </c>
      <c r="I2" t="inlineStr">
        <is>
          <t>APAE Blumenau</t>
        </is>
      </c>
      <c r="J2" t="inlineStr">
        <is>
          <t>Maria Silva</t>
        </is>
      </c>
      <c r="K2" t="inlineStr">
        <is>
          <t>Mãe</t>
        </is>
      </c>
      <c r="L2" t="inlineStr">
        <is>
          <t>(47)9999-1111</t>
        </is>
      </c>
      <c r="M2" t="inlineStr">
        <is>
          <t>maria@email.com</t>
        </is>
      </c>
      <c r="N2" t="inlineStr">
        <is>
          <t>Rua A, 123</t>
        </is>
      </c>
      <c r="O2" t="inlineStr">
        <is>
          <t>Nenhum</t>
        </is>
      </c>
      <c r="P2" t="inlineStr">
        <is>
          <t>Sim</t>
        </is>
      </c>
      <c r="Q2" t="inlineStr">
        <is>
          <t>Ativo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P002</t>
        </is>
      </c>
      <c r="B3" t="inlineStr">
        <is>
          <t>2026-01-16</t>
        </is>
      </c>
      <c r="C3" t="inlineStr">
        <is>
          <t>Bruno Santos</t>
        </is>
      </c>
      <c r="D3" t="n">
        <v>23</v>
      </c>
      <c r="E3" t="inlineStr">
        <is>
          <t>M</t>
        </is>
      </c>
      <c r="F3" t="inlineStr">
        <is>
          <t>Moderado</t>
        </is>
      </c>
      <c r="G3" t="inlineStr">
        <is>
          <t>Ambulatorial</t>
        </is>
      </c>
      <c r="H3" t="inlineStr">
        <is>
          <t>Completa</t>
        </is>
      </c>
      <c r="I3" t="inlineStr">
        <is>
          <t>UBS Velha</t>
        </is>
      </c>
      <c r="J3" t="inlineStr">
        <is>
          <t>João Santos</t>
        </is>
      </c>
      <c r="K3" t="inlineStr">
        <is>
          <t>Pai</t>
        </is>
      </c>
      <c r="L3" t="inlineStr">
        <is>
          <t>(47)9999-2222</t>
        </is>
      </c>
      <c r="M3" t="inlineStr">
        <is>
          <t>joao@email.com</t>
        </is>
      </c>
      <c r="N3" t="inlineStr">
        <is>
          <t>Rua B, 456</t>
        </is>
      </c>
      <c r="O3" t="inlineStr">
        <is>
          <t>Rivotril</t>
        </is>
      </c>
      <c r="P3" t="inlineStr">
        <is>
          <t>Sim</t>
        </is>
      </c>
      <c r="Q3" t="inlineStr">
        <is>
          <t>Ativo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P003</t>
        </is>
      </c>
      <c r="B4" t="inlineStr">
        <is>
          <t>2026-01-18</t>
        </is>
      </c>
      <c r="C4" t="inlineStr">
        <is>
          <t>Carlos Costa</t>
        </is>
      </c>
      <c r="D4" t="n">
        <v>35</v>
      </c>
      <c r="E4" t="inlineStr">
        <is>
          <t>M</t>
        </is>
      </c>
      <c r="F4" t="inlineStr">
        <is>
          <t>Leve</t>
        </is>
      </c>
      <c r="G4" t="inlineStr">
        <is>
          <t>Domiciliar</t>
        </is>
      </c>
      <c r="H4" t="inlineStr">
        <is>
          <t>Light</t>
        </is>
      </c>
      <c r="I4" t="inlineStr">
        <is>
          <t>APAE Blumenau</t>
        </is>
      </c>
      <c r="J4" t="inlineStr">
        <is>
          <t>Ana Costa</t>
        </is>
      </c>
      <c r="K4" t="inlineStr">
        <is>
          <t>Mãe</t>
        </is>
      </c>
      <c r="L4" t="inlineStr">
        <is>
          <t>(47)9999-3333</t>
        </is>
      </c>
      <c r="M4" t="inlineStr">
        <is>
          <t>ana@email.com</t>
        </is>
      </c>
      <c r="N4" t="inlineStr">
        <is>
          <t>Rua C, 789</t>
        </is>
      </c>
      <c r="O4" t="inlineStr">
        <is>
          <t>Nenhum</t>
        </is>
      </c>
      <c r="P4" t="inlineStr">
        <is>
          <t>Sim</t>
        </is>
      </c>
      <c r="Q4" t="inlineStr">
        <is>
          <t>Ativo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P004</t>
        </is>
      </c>
      <c r="B5" t="inlineStr">
        <is>
          <t>2026-01-20</t>
        </is>
      </c>
      <c r="C5" t="inlineStr">
        <is>
          <t>Diana Lima</t>
        </is>
      </c>
      <c r="D5" t="n">
        <v>12</v>
      </c>
      <c r="E5" t="inlineStr">
        <is>
          <t>F</t>
        </is>
      </c>
      <c r="F5" t="inlineStr">
        <is>
          <t>Moderado</t>
        </is>
      </c>
      <c r="G5" t="inlineStr">
        <is>
          <t>Domiciliar</t>
        </is>
      </c>
      <c r="H5" t="inlineStr">
        <is>
          <t>Completa</t>
        </is>
      </c>
      <c r="I5" t="inlineStr">
        <is>
          <t>Hospital Santa Isabel</t>
        </is>
      </c>
      <c r="J5" t="inlineStr">
        <is>
          <t>Pedro Lima</t>
        </is>
      </c>
      <c r="K5" t="inlineStr">
        <is>
          <t>Pai</t>
        </is>
      </c>
      <c r="L5" t="inlineStr">
        <is>
          <t>(47)9999-4444</t>
        </is>
      </c>
      <c r="M5" t="inlineStr">
        <is>
          <t>pedro@email.com</t>
        </is>
      </c>
      <c r="N5" t="inlineStr">
        <is>
          <t>Rua D, 321</t>
        </is>
      </c>
      <c r="O5" t="inlineStr">
        <is>
          <t>Tegretol</t>
        </is>
      </c>
      <c r="P5" t="inlineStr">
        <is>
          <t>Sim</t>
        </is>
      </c>
      <c r="Q5" t="inlineStr">
        <is>
          <t>Ativo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P005</t>
        </is>
      </c>
      <c r="B6" t="inlineStr">
        <is>
          <t>2026-01-22</t>
        </is>
      </c>
      <c r="C6" t="inlineStr">
        <is>
          <t>Eduardo Alves</t>
        </is>
      </c>
      <c r="D6" t="n">
        <v>45</v>
      </c>
      <c r="E6" t="inlineStr">
        <is>
          <t>M</t>
        </is>
      </c>
      <c r="F6" t="inlineStr">
        <is>
          <t>Leve</t>
        </is>
      </c>
      <c r="G6" t="inlineStr">
        <is>
          <t>Ambulatorial</t>
        </is>
      </c>
      <c r="H6" t="inlineStr">
        <is>
          <t>Light</t>
        </is>
      </c>
      <c r="I6" t="inlineStr">
        <is>
          <t>UBS Velha</t>
        </is>
      </c>
      <c r="J6" t="inlineStr">
        <is>
          <t>Rosa Alves</t>
        </is>
      </c>
      <c r="K6" t="inlineStr">
        <is>
          <t>Tia</t>
        </is>
      </c>
      <c r="L6" t="inlineStr">
        <is>
          <t>(47)9999-5555</t>
        </is>
      </c>
      <c r="M6" t="inlineStr">
        <is>
          <t>rosa@email.com</t>
        </is>
      </c>
      <c r="N6" t="inlineStr">
        <is>
          <t>Rua E, 654</t>
        </is>
      </c>
      <c r="O6" t="inlineStr">
        <is>
          <t>Nenhum</t>
        </is>
      </c>
      <c r="P6" t="inlineStr">
        <is>
          <t>Sim</t>
        </is>
      </c>
      <c r="Q6" t="inlineStr">
        <is>
          <t>Ativo</t>
        </is>
      </c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Descrição</t>
        </is>
      </c>
      <c r="C1" s="1" t="inlineStr">
        <is>
          <t>Fórmula</t>
        </is>
      </c>
    </row>
    <row r="2">
      <c r="A2" t="inlineStr">
        <is>
          <t>ICC</t>
        </is>
      </c>
      <c r="B2" t="inlineStr">
        <is>
          <t>Cálculo de Concordância Intraclasse entre avaliadores</t>
        </is>
      </c>
      <c r="C2">
        <f>MEANIFS(Dados!X:X, Dados!Grupo:Grupo, "*")</f>
        <v/>
      </c>
    </row>
    <row r="3">
      <c r="A3" t="inlineStr">
        <is>
          <t>Compliance (%)</t>
        </is>
      </c>
      <c r="B3" t="inlineStr">
        <is>
          <t>Percentual de sessões com aplicação completa</t>
        </is>
      </c>
      <c r="C3">
        <f>COUNTIF(Dados!I:I, "&gt;=0.9")/COUNTA(Dados!I:I)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2025-10-22T03:43:35Z</dcterms:created>
  <dcterms:modified xmlns:dcterms="http://purl.org/dc/terms/" xmlns:xsi="http://www.w3.org/2001/XMLSchema-instance" xsi:type="dcterms:W3CDTF">2025-10-22T03:43:35Z</dcterms:modified>
</cp:coreProperties>
</file>